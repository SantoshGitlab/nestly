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Revenue Stream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₹&quot;#,##0;(&quot;₹&quot;#,##0);-"/>
    <numFmt numFmtId="166" formatCode="0.0"/>
    <numFmt numFmtId="167" formatCode="0.00&quot;x&quot;"/>
    <numFmt numFmtId="168" formatCode="0.0&quot;x&quot;"/>
    <numFmt numFmtId="169" formatCode="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</font>
    <font>
      <name val="Arial"/>
      <color rgb="00000000"/>
    </font>
    <font>
      <name val="Arial"/>
      <b val="1"/>
      <color rgb="00FFFFFF"/>
    </font>
    <font>
      <name val="Arial"/>
      <color rgb="000000FF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6" fillId="3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165" fontId="6" fillId="3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0" fontId="3" fillId="4" borderId="1" pivotButton="0" quotePrefix="0" xfId="0"/>
    <xf numFmtId="165" fontId="6" fillId="3" borderId="1" pivotButton="0" quotePrefix="0" xfId="0"/>
    <xf numFmtId="166" fontId="6" fillId="3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5" fontId="3" fillId="0" borderId="1" pivotButton="0" quotePrefix="0" xfId="0"/>
    <xf numFmtId="167" fontId="4" fillId="0" borderId="1" pivotButton="0" quotePrefix="0" xfId="0"/>
    <xf numFmtId="166" fontId="4" fillId="0" borderId="1" pivotButton="0" quotePrefix="0" xfId="0"/>
    <xf numFmtId="168" fontId="3" fillId="0" borderId="1" pivotButton="0" quotePrefix="0" xfId="0"/>
    <xf numFmtId="0" fontId="3" fillId="0" borderId="1" pivotButton="0" quotePrefix="0" xfId="0"/>
    <xf numFmtId="0" fontId="7" fillId="0" borderId="0" applyAlignment="1" pivotButton="0" quotePrefix="0" xfId="0">
      <alignment wrapText="1"/>
    </xf>
    <xf numFmtId="168" fontId="4" fillId="0" borderId="1" pivotButton="0" quotePrefix="0" xfId="0"/>
    <xf numFmtId="0" fontId="4" fillId="0" borderId="1" applyAlignment="1" pivotButton="0" quotePrefix="0" xfId="0">
      <alignment horizontal="center"/>
    </xf>
    <xf numFmtId="169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1" t="inlineStr">
        <is>
          <t>Nestly — Unit Economics Model</t>
        </is>
      </c>
    </row>
    <row r="3">
      <c r="B3" s="2" t="inlineStr">
        <is>
          <t>Jaipur launch · illustrative, built from published market rates — replace every blue cell with Nestly's own numbers</t>
        </is>
      </c>
    </row>
    <row r="4"/>
    <row r="5"/>
    <row r="6">
      <c r="B6" s="3" t="inlineStr">
        <is>
          <t>What this is</t>
        </is>
      </c>
    </row>
    <row r="7">
      <c r="B7" s="4" t="inlineStr">
        <is>
          <t>A costed per-revenue-type model, referenced by docs/MARKET.md §3 and docs/LAUNCH-READINESS-AUDIT.md.</t>
        </is>
      </c>
    </row>
    <row r="8">
      <c r="B8" s="4" t="inlineStr">
        <is>
          <t>MARKET.md's own figures were market-derived estimates standing in for a model Nestly needs to own — this is that model.</t>
        </is>
      </c>
    </row>
    <row r="9"/>
    <row r="10">
      <c r="B10" s="3" t="inlineStr">
        <is>
          <t>How to use it</t>
        </is>
      </c>
    </row>
    <row r="11">
      <c r="B11" s="4" t="inlineStr">
        <is>
          <t>1. Open the 'Assumptions' tab. Every BLUE cell is an input — replace with Nestly's real numbers as they become available.</t>
        </is>
      </c>
    </row>
    <row r="12">
      <c r="B12" s="4" t="inlineStr">
        <is>
          <t>2. Open 'Revenue Streams'. Blue cells there are per-stream inputs (price, frequency, CAC). Black cells are formulas — do not overwrite them.</t>
        </is>
      </c>
    </row>
    <row r="13">
      <c r="B13" s="4" t="inlineStr">
        <is>
          <t>3. 'Summary' recomputes automatically from the two tabs above — nothing to edit there.</t>
        </is>
      </c>
    </row>
    <row r="14"/>
    <row r="15">
      <c r="B15" s="3" t="inlineStr">
        <is>
          <t>Color key</t>
        </is>
      </c>
    </row>
    <row r="16">
      <c r="B16" s="4" t="inlineStr">
        <is>
          <t>Blue text = input, edit freely.  Black text = formula, do not overwrite.  Yellow fill = a figure worth checking first.</t>
        </is>
      </c>
    </row>
    <row r="17"/>
    <row r="18">
      <c r="B18" s="3" t="inlineStr">
        <is>
          <t>Sources for the starting values</t>
        </is>
      </c>
    </row>
    <row r="19">
      <c r="B19" s="4" t="inlineStr">
        <is>
          <t>Platform take rate, gateway fees, CAC range: RedSeer 'Instant Home Services and the Next Habit Loop'; Urban Company FY25 financial disclosures.</t>
        </is>
      </c>
    </row>
    <row r="20">
      <c r="B20" s="4" t="inlineStr">
        <is>
          <t>AMC/contract figures: industry AMC revenue-leakage benchmarks (15–25% lost to missed renewals) and local Jaipur AC service rate cards.</t>
        </is>
      </c>
    </row>
    <row r="21">
      <c r="B21" s="4" t="inlineStr">
        <is>
          <t>Full citation list: docs/MARKET.md 'SOURCES' section in the Nestly repository.</t>
        </is>
      </c>
    </row>
    <row r="22"/>
    <row r="23">
      <c r="B23" s="3" t="inlineStr">
        <is>
          <t>What is NOT in this model</t>
        </is>
      </c>
    </row>
    <row r="24">
      <c r="B24" s="4" t="inlineStr">
        <is>
          <t>Fixed costs (ops headcount, office, tech/eng spend), taxes, working-capital timing, or a full P&amp;L. This is unit economics per</t>
        </is>
      </c>
    </row>
    <row r="25">
      <c r="B25" s="4" t="inlineStr">
        <is>
          <t>revenue-generating relationship only — the input the pricing and supply-acquisition decisions in MARKET.md actually need.</t>
        </is>
      </c>
    </row>
    <row r="26"/>
    <row r="27">
      <c r="B27" s="3" t="inlineStr">
        <is>
          <t>A note on verification</t>
        </is>
      </c>
    </row>
    <row r="28">
      <c r="B28" s="4" t="inlineStr">
        <is>
          <t>This workbook's formulas were checked by hand (formula text reviewed cell-by-cell, values cross-checked against</t>
        </is>
      </c>
    </row>
    <row r="29">
      <c r="B29" s="4" t="inlineStr">
        <is>
          <t>the assumptions in Python) rather than by opening it in Excel/LibreOffice and confirming the computed results, because</t>
        </is>
      </c>
    </row>
    <row r="30">
      <c r="B30" s="4" t="inlineStr">
        <is>
          <t>the sandboxed environment this was built in could not run LibreOffice long enough to recalculate even a trivial</t>
        </is>
      </c>
    </row>
    <row r="31">
      <c r="B31" s="4" t="inlineStr">
        <is>
          <t>one-cell test file (repeated timeouts up to 900s, isolated to this environment - see the build session's notes).</t>
        </is>
      </c>
    </row>
    <row r="32">
      <c r="B32" s="4" t="inlineStr">
        <is>
          <t>Formulas will compute normally the first time this file is opened in real Excel or LibreOffice. Before relying on</t>
        </is>
      </c>
    </row>
    <row r="33">
      <c r="B33" s="4" t="inlineStr">
        <is>
          <t>a number from this model, open it once and confirm the Summary tab's figures look sane against the hand-check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45" customWidth="1" min="4" max="4"/>
  </cols>
  <sheetData>
    <row r="2">
      <c r="B2" s="1" t="inlineStr">
        <is>
          <t>Global Assumptions</t>
        </is>
      </c>
    </row>
    <row r="3">
      <c r="B3" s="2" t="inlineStr">
        <is>
          <t>Edit every BLUE cell. Every Revenue Streams formula reads from here — nothing is hardcoded in a formula.</t>
        </is>
      </c>
    </row>
    <row r="5">
      <c r="B5" s="5" t="inlineStr">
        <is>
          <t>Assumption</t>
        </is>
      </c>
      <c r="C5" s="5" t="inlineStr">
        <is>
          <t>Value</t>
        </is>
      </c>
      <c r="D5" s="5" t="inlineStr">
        <is>
          <t>Notes / Source</t>
        </is>
      </c>
    </row>
    <row r="6" ht="30" customHeight="1">
      <c r="B6" s="6" t="inlineStr">
        <is>
          <t>Platform take rate — consumer jobs</t>
        </is>
      </c>
      <c r="C6" s="7" t="n">
        <v>0.2</v>
      </c>
      <c r="D6" s="8" t="inlineStr">
        <is>
          <t>MARKET.md §3: '~20% take' on one-off consumer jobs. Urban Company's Indian consumer take is materially higher; Nestly's stated differentiator is a lower rate — see docs/PRICING.md.</t>
        </is>
      </c>
    </row>
    <row r="7" ht="30" customHeight="1">
      <c r="B7" s="6" t="inlineStr">
        <is>
          <t>Platform take rate — contract revenue (AMC/B2B/RWA)</t>
        </is>
      </c>
      <c r="C7" s="7" t="n">
        <v>0.35</v>
      </c>
      <c r="D7" s="8" t="inlineStr">
        <is>
          <t>Illustrative facility-services-style margin, not a published Nestly rate. Contract revenue is typically higher-margin than spot consumer jobs because utilisation is predictable.</t>
        </is>
      </c>
    </row>
    <row r="8" ht="30" customHeight="1">
      <c r="B8" s="6" t="inlineStr">
        <is>
          <t>Payment gateway fee</t>
        </is>
      </c>
      <c r="C8" s="7" t="n">
        <v>0.02</v>
      </c>
      <c r="D8" s="8" t="inlineStr">
        <is>
          <t>Typical Indian payment-gateway blended fee (Razorpay/PayU card+UPI blend, ~1.8-2.2%). Replace with Nestly's actual negotiated rate.</t>
        </is>
      </c>
    </row>
    <row r="9" ht="30" customHeight="1">
      <c r="B9" s="6" t="inlineStr">
        <is>
          <t>Support cost per booking</t>
        </is>
      </c>
      <c r="C9" s="9" t="n">
        <v>15</v>
      </c>
      <c r="D9" s="8" t="inlineStr">
        <is>
          <t>Placeholder — no real support-cost accounting exists yet (LAUNCH-READINESS-AUDIT.md gap). Replace once support-ticket volume/cost data exists.</t>
        </is>
      </c>
    </row>
    <row r="10" ht="30" customHeight="1">
      <c r="B10" s="6" t="inlineStr">
        <is>
          <t>Redo / refund provision (% of take)</t>
        </is>
      </c>
      <c r="C10" s="7" t="n">
        <v>0.1</v>
      </c>
      <c r="D10" s="8" t="inlineStr">
        <is>
          <t>Placeholder allowance for redo visits and refunds against platform revenue. Replace with actual redo/refund rate once tracked.</t>
        </is>
      </c>
    </row>
    <row r="11" ht="30" customHeight="1">
      <c r="B11" s="6" t="inlineStr">
        <is>
          <t>Blended CAC — consumer (one-off / repeat)</t>
        </is>
      </c>
      <c r="C11" s="9" t="n">
        <v>450</v>
      </c>
      <c r="D11" s="8" t="inlineStr">
        <is>
          <t>MARKET.md §3: 'realistic ₹300-600 acquisition cost'. Midpoint used; edit to your actual blended paid+organic CAC.</t>
        </is>
      </c>
    </row>
    <row r="12" ht="30" customHeight="1">
      <c r="B12" s="6" t="inlineStr">
        <is>
          <t>Blended CAC — AMC / household plan</t>
        </is>
      </c>
      <c r="C12" s="9" t="n">
        <v>450</v>
      </c>
      <c r="D12" s="8" t="inlineStr">
        <is>
          <t>Same acquisition channel as a consumer job (app installs, category browse) — the difference is downstream monetisation, not acquisition cost.</t>
        </is>
      </c>
    </row>
    <row r="13" ht="30" customHeight="1">
      <c r="B13" s="6" t="inlineStr">
        <is>
          <t>B2B / RWA sales cost per signed contract</t>
        </is>
      </c>
      <c r="C13" s="9" t="n">
        <v>8000</v>
      </c>
      <c r="D13" s="8" t="inlineStr">
        <is>
          <t>A field-sales cost (rep time, site visits, proposal), not a marketing CAC — MARKET.md move #1/#2 assumes door-to-door society/site sales, not paid acquisition.</t>
        </is>
      </c>
    </row>
    <row r="14" ht="30" customHeight="1">
      <c r="B14" s="6" t="inlineStr">
        <is>
          <t>Average customer lifetime (consumer, years)</t>
        </is>
      </c>
      <c r="C14" s="10" t="n">
        <v>2</v>
      </c>
      <c r="D14" s="8" t="inlineStr">
        <is>
          <t>For LTV:CAC — edit once real cohort retention data exists. 2 years is a starting assumption, not measured.</t>
        </is>
      </c>
    </row>
    <row r="15" ht="30" customHeight="1">
      <c r="B15" s="6" t="inlineStr">
        <is>
          <t>Average AMC renewal rate</t>
        </is>
      </c>
      <c r="C15" s="7" t="n">
        <v>0.55</v>
      </c>
      <c r="D15" s="8" t="inlineStr">
        <is>
          <t>Industry AMC benchmark context (MARKET.md: 15-25% of AMC revenue lost to missed renewals industry-wide, i.e. ~75-85% naive renewal ceiling); 55% is a conservative planning assumption pending real data.</t>
        </is>
      </c>
    </row>
    <row r="16" ht="30" customHeight="1">
      <c r="B16" s="6" t="inlineStr">
        <is>
          <t>Average B2B/RWA contract length (years)</t>
        </is>
      </c>
      <c r="C16" s="10" t="n">
        <v>2</v>
      </c>
      <c r="D16" s="8" t="inlineStr">
        <is>
          <t>Facility-management contracts commonly renew 1-3 years; edit once Nestly has signed contracts to measure against.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2" customWidth="1" min="4" max="4"/>
    <col width="16" customWidth="1" min="5" max="5"/>
    <col width="12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4" customWidth="1" min="12" max="12"/>
    <col width="12" customWidth="1" min="13" max="13"/>
    <col width="14" customWidth="1" min="14" max="14"/>
    <col width="16" customWidth="1" min="15" max="15"/>
    <col width="12" customWidth="1" min="16" max="16"/>
  </cols>
  <sheetData>
    <row r="2">
      <c r="B2" s="1" t="inlineStr">
        <is>
          <t>Revenue Streams — Annual Contribution per Acquired Relationship</t>
        </is>
      </c>
    </row>
    <row r="3">
      <c r="B3" s="2" t="inlineStr">
        <is>
          <t>Blue cells = per-stream inputs. Black cells = formulas reading Assumptions + the blue cells in this sheet.</t>
        </is>
      </c>
    </row>
    <row r="5" ht="42" customHeight="1">
      <c r="B5" s="5" t="inlineStr">
        <is>
          <t>Revenue Type</t>
        </is>
      </c>
      <c r="C5" s="5" t="inlineStr">
        <is>
          <t>Price / Ticket</t>
        </is>
      </c>
      <c r="D5" s="5" t="inlineStr">
        <is>
          <t>Visits or
Billings / Yr</t>
        </is>
      </c>
      <c r="E5" s="5" t="inlineStr">
        <is>
          <t>Annual Booking
Value</t>
        </is>
      </c>
      <c r="F5" s="5" t="inlineStr">
        <is>
          <t>Take
Rate</t>
        </is>
      </c>
      <c r="G5" s="5" t="inlineStr">
        <is>
          <t>Gross Platform
Revenue</t>
        </is>
      </c>
      <c r="H5" s="5" t="inlineStr">
        <is>
          <t>Less: Gateway
Fee</t>
        </is>
      </c>
      <c r="I5" s="5" t="inlineStr">
        <is>
          <t>Less: Support
Cost</t>
        </is>
      </c>
      <c r="J5" s="5" t="inlineStr">
        <is>
          <t>Less: Redo/Refund
Provision</t>
        </is>
      </c>
      <c r="K5" s="5" t="inlineStr">
        <is>
          <t>Contribution
Margin</t>
        </is>
      </c>
      <c r="L5" s="5" t="inlineStr">
        <is>
          <t>CAC</t>
        </is>
      </c>
      <c r="M5" s="5" t="inlineStr">
        <is>
          <t>CAC
Payback (x)</t>
        </is>
      </c>
      <c r="N5" s="5" t="inlineStr">
        <is>
          <t>Est. Lifetime
(yrs)</t>
        </is>
      </c>
      <c r="O5" s="5" t="inlineStr">
        <is>
          <t>Lifetime Value
(LTV)</t>
        </is>
      </c>
      <c r="P5" s="5" t="inlineStr">
        <is>
          <t>LTV : CAC</t>
        </is>
      </c>
    </row>
    <row r="6">
      <c r="B6" s="11" t="inlineStr">
        <is>
          <t>One-off consumer job</t>
        </is>
      </c>
      <c r="C6" s="12" t="n">
        <v>599</v>
      </c>
      <c r="D6" s="13" t="n">
        <v>1</v>
      </c>
      <c r="E6" s="14">
        <f>C6*D6</f>
        <v/>
      </c>
      <c r="F6" s="15">
        <f>Assumptions!$C$6</f>
        <v/>
      </c>
      <c r="G6" s="14">
        <f>E6*F6</f>
        <v/>
      </c>
      <c r="H6" s="14">
        <f>E6*Assumptions!$C$8</f>
        <v/>
      </c>
      <c r="I6" s="14">
        <f>D6*Assumptions!$C$9</f>
        <v/>
      </c>
      <c r="J6" s="14">
        <f>G6*Assumptions!$C$10</f>
        <v/>
      </c>
      <c r="K6" s="16">
        <f>G6-H6-I6-J6</f>
        <v/>
      </c>
      <c r="L6" s="14">
        <f>Assumptions!$C$11</f>
        <v/>
      </c>
      <c r="M6" s="17">
        <f>IFERROR(K6/L6,0)</f>
        <v/>
      </c>
      <c r="N6" s="18">
        <f>1</f>
        <v/>
      </c>
      <c r="O6" s="16">
        <f>K6*N6</f>
        <v/>
      </c>
      <c r="P6" s="19">
        <f>IFERROR(O6/L6,0)</f>
        <v/>
      </c>
    </row>
    <row r="7">
      <c r="B7" s="20" t="inlineStr">
        <is>
          <t>Repeat app customer</t>
        </is>
      </c>
      <c r="C7" s="12" t="n">
        <v>599</v>
      </c>
      <c r="D7" s="13" t="n">
        <v>4</v>
      </c>
      <c r="E7" s="14">
        <f>C7*D7</f>
        <v/>
      </c>
      <c r="F7" s="15">
        <f>Assumptions!$C$6</f>
        <v/>
      </c>
      <c r="G7" s="14">
        <f>E7*F7</f>
        <v/>
      </c>
      <c r="H7" s="14">
        <f>E7*Assumptions!$C$8</f>
        <v/>
      </c>
      <c r="I7" s="14">
        <f>D7*Assumptions!$C$9</f>
        <v/>
      </c>
      <c r="J7" s="14">
        <f>G7*Assumptions!$C$10</f>
        <v/>
      </c>
      <c r="K7" s="16">
        <f>G7-H7-I7-J7</f>
        <v/>
      </c>
      <c r="L7" s="14">
        <f>Assumptions!$C$11</f>
        <v/>
      </c>
      <c r="M7" s="17">
        <f>IFERROR(K7/L7,0)</f>
        <v/>
      </c>
      <c r="N7" s="18">
        <f>Assumptions!$C$14</f>
        <v/>
      </c>
      <c r="O7" s="16">
        <f>K7*N7</f>
        <v/>
      </c>
      <c r="P7" s="19">
        <f>IFERROR(O7/L7,0)</f>
        <v/>
      </c>
    </row>
    <row r="8">
      <c r="B8" s="11" t="inlineStr">
        <is>
          <t>AMC contract (annual)</t>
        </is>
      </c>
      <c r="C8" s="12" t="n">
        <v>3499</v>
      </c>
      <c r="D8" s="13" t="n">
        <v>1</v>
      </c>
      <c r="E8" s="14">
        <f>C8*D8</f>
        <v/>
      </c>
      <c r="F8" s="15">
        <f>Assumptions!$C$7</f>
        <v/>
      </c>
      <c r="G8" s="14">
        <f>E8*F8</f>
        <v/>
      </c>
      <c r="H8" s="14">
        <f>E8*Assumptions!$C$8</f>
        <v/>
      </c>
      <c r="I8" s="14">
        <f>D8*Assumptions!$C$9</f>
        <v/>
      </c>
      <c r="J8" s="14">
        <f>G8*Assumptions!$C$10</f>
        <v/>
      </c>
      <c r="K8" s="16">
        <f>G8-H8-I8-J8</f>
        <v/>
      </c>
      <c r="L8" s="14">
        <f>Assumptions!$C$12</f>
        <v/>
      </c>
      <c r="M8" s="17">
        <f>IFERROR(K8/L8,0)</f>
        <v/>
      </c>
      <c r="N8" s="18">
        <f>MIN(10,1/(1-Assumptions!$C$15))</f>
        <v/>
      </c>
      <c r="O8" s="16">
        <f>K8*N8</f>
        <v/>
      </c>
      <c r="P8" s="19">
        <f>IFERROR(O8/L8,0)</f>
        <v/>
      </c>
    </row>
    <row r="9">
      <c r="B9" s="20" t="inlineStr">
        <is>
          <t>Household recurring plan (weekly)</t>
        </is>
      </c>
      <c r="C9" s="12" t="n">
        <v>500</v>
      </c>
      <c r="D9" s="13" t="n">
        <v>45</v>
      </c>
      <c r="E9" s="14">
        <f>C9*D9</f>
        <v/>
      </c>
      <c r="F9" s="15">
        <f>Assumptions!$C$7</f>
        <v/>
      </c>
      <c r="G9" s="14">
        <f>E9*F9</f>
        <v/>
      </c>
      <c r="H9" s="14">
        <f>E9*Assumptions!$C$8</f>
        <v/>
      </c>
      <c r="I9" s="14">
        <f>D9*Assumptions!$C$9</f>
        <v/>
      </c>
      <c r="J9" s="14">
        <f>G9*Assumptions!$C$10</f>
        <v/>
      </c>
      <c r="K9" s="16">
        <f>G9-H9-I9-J9</f>
        <v/>
      </c>
      <c r="L9" s="14">
        <f>Assumptions!$C$12</f>
        <v/>
      </c>
      <c r="M9" s="17">
        <f>IFERROR(K9/L9,0)</f>
        <v/>
      </c>
      <c r="N9" s="18">
        <f>Assumptions!$C$14</f>
        <v/>
      </c>
      <c r="O9" s="16">
        <f>K9*N9</f>
        <v/>
      </c>
      <c r="P9" s="19">
        <f>IFERROR(O9/L9,0)</f>
        <v/>
      </c>
    </row>
    <row r="10">
      <c r="B10" s="11" t="inlineStr">
        <is>
          <t>B2B site contract (monthly)</t>
        </is>
      </c>
      <c r="C10" s="12" t="n">
        <v>35000</v>
      </c>
      <c r="D10" s="13" t="n">
        <v>12</v>
      </c>
      <c r="E10" s="14">
        <f>C10*D10</f>
        <v/>
      </c>
      <c r="F10" s="15">
        <f>Assumptions!$C$7</f>
        <v/>
      </c>
      <c r="G10" s="14">
        <f>E10*F10</f>
        <v/>
      </c>
      <c r="H10" s="14">
        <f>E10*Assumptions!$C$8</f>
        <v/>
      </c>
      <c r="I10" s="14">
        <f>D10*Assumptions!$C$9</f>
        <v/>
      </c>
      <c r="J10" s="14">
        <f>G10*Assumptions!$C$10</f>
        <v/>
      </c>
      <c r="K10" s="16">
        <f>G10-H10-I10-J10</f>
        <v/>
      </c>
      <c r="L10" s="14">
        <f>Assumptions!$C$13</f>
        <v/>
      </c>
      <c r="M10" s="17">
        <f>IFERROR(K10/L10,0)</f>
        <v/>
      </c>
      <c r="N10" s="18">
        <f>Assumptions!$C$16</f>
        <v/>
      </c>
      <c r="O10" s="16">
        <f>K10*N10</f>
        <v/>
      </c>
      <c r="P10" s="19">
        <f>IFERROR(O10/L10,0)</f>
        <v/>
      </c>
    </row>
    <row r="11">
      <c r="B11" s="20" t="inlineStr">
        <is>
          <t>Society / RWA contract (monthly)</t>
        </is>
      </c>
      <c r="C11" s="12" t="n">
        <v>65000</v>
      </c>
      <c r="D11" s="13" t="n">
        <v>12</v>
      </c>
      <c r="E11" s="14">
        <f>C11*D11</f>
        <v/>
      </c>
      <c r="F11" s="15">
        <f>Assumptions!$C$7</f>
        <v/>
      </c>
      <c r="G11" s="14">
        <f>E11*F11</f>
        <v/>
      </c>
      <c r="H11" s="14">
        <f>E11*Assumptions!$C$8</f>
        <v/>
      </c>
      <c r="I11" s="14">
        <f>D11*Assumptions!$C$9</f>
        <v/>
      </c>
      <c r="J11" s="14">
        <f>G11*Assumptions!$C$10</f>
        <v/>
      </c>
      <c r="K11" s="16">
        <f>G11-H11-I11-J11</f>
        <v/>
      </c>
      <c r="L11" s="14">
        <f>Assumptions!$C$13</f>
        <v/>
      </c>
      <c r="M11" s="17">
        <f>IFERROR(K11/L11,0)</f>
        <v/>
      </c>
      <c r="N11" s="18">
        <f>Assumptions!$C$16</f>
        <v/>
      </c>
      <c r="O11" s="16">
        <f>K11*N11</f>
        <v/>
      </c>
      <c r="P11" s="19">
        <f>IFERROR(O11/L11,0)</f>
        <v/>
      </c>
    </row>
    <row r="13">
      <c r="B13" s="3" t="inlineStr">
        <is>
          <t>Notes</t>
        </is>
      </c>
    </row>
    <row r="14">
      <c r="B14" s="21" t="inlineStr">
        <is>
          <t>Gateway fee and redo/refund provision are applied against Annual Booking Value / Gross Platform Revenue respectively — adjust the formulas directly (not just the Assumptions inputs) if Nestly's actual fee basis differs.</t>
        </is>
      </c>
    </row>
    <row r="15">
      <c r="B15" s="21" t="inlineStr">
        <is>
          <t>'Household recurring plan' uses 45 visits/yr (not 52) to allow for skipped weeks — a planning assumption, not measured. 'AMC' lifetime is derived from the renewal-rate assumption (1 / (1 - renewal rate), capped at 10 years) rather than a flat input.</t>
        </is>
      </c>
    </row>
  </sheetData>
  <conditionalFormatting sqref="K6:K11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P6:P11">
    <cfRule type="cellIs" priority="3" operator="lessThan" dxfId="0">
      <formula>1</formula>
    </cfRule>
    <cfRule type="cellIs" priority="4" operator="greaterThanOrEqual" dxfId="1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2">
      <c r="B2" s="1" t="inlineStr">
        <is>
          <t>Summary — Contribution Margin by Revenue Type</t>
        </is>
      </c>
    </row>
    <row r="3">
      <c r="B3" s="2" t="inlineStr">
        <is>
          <t>Fully computed from Revenue Streams — nothing to edit here.</t>
        </is>
      </c>
    </row>
    <row r="5">
      <c r="B5" s="5" t="inlineStr">
        <is>
          <t>Revenue Type</t>
        </is>
      </c>
      <c r="C5" s="5" t="inlineStr">
        <is>
          <t>Contribution Margin</t>
        </is>
      </c>
      <c r="D5" s="5" t="inlineStr">
        <is>
          <t>CAC Payback</t>
        </is>
      </c>
      <c r="E5" s="5" t="inlineStr">
        <is>
          <t>LTV : CAC</t>
        </is>
      </c>
      <c r="F5" s="5" t="inlineStr">
        <is>
          <t>Verdict</t>
        </is>
      </c>
    </row>
    <row r="6">
      <c r="B6" s="6">
        <f>'Revenue Streams'!B6</f>
        <v/>
      </c>
      <c r="C6" s="14">
        <f>'Revenue Streams'!K6</f>
        <v/>
      </c>
      <c r="D6" s="17">
        <f>'Revenue Streams'!M6</f>
        <v/>
      </c>
      <c r="E6" s="22">
        <f>'Revenue Streams'!P6</f>
        <v/>
      </c>
      <c r="F6" s="23">
        <f>IF(C6&lt;0,"Loses money",IF(E6&gt;=3,"Strong","Marginal"))</f>
        <v/>
      </c>
    </row>
    <row r="7">
      <c r="B7" s="6">
        <f>'Revenue Streams'!B7</f>
        <v/>
      </c>
      <c r="C7" s="14">
        <f>'Revenue Streams'!K7</f>
        <v/>
      </c>
      <c r="D7" s="17">
        <f>'Revenue Streams'!M7</f>
        <v/>
      </c>
      <c r="E7" s="22">
        <f>'Revenue Streams'!P7</f>
        <v/>
      </c>
      <c r="F7" s="23">
        <f>IF(C7&lt;0,"Loses money",IF(E7&gt;=3,"Strong","Marginal"))</f>
        <v/>
      </c>
    </row>
    <row r="8">
      <c r="B8" s="6">
        <f>'Revenue Streams'!B8</f>
        <v/>
      </c>
      <c r="C8" s="14">
        <f>'Revenue Streams'!K8</f>
        <v/>
      </c>
      <c r="D8" s="17">
        <f>'Revenue Streams'!M8</f>
        <v/>
      </c>
      <c r="E8" s="22">
        <f>'Revenue Streams'!P8</f>
        <v/>
      </c>
      <c r="F8" s="23">
        <f>IF(C8&lt;0,"Loses money",IF(E8&gt;=3,"Strong","Marginal"))</f>
        <v/>
      </c>
    </row>
    <row r="9">
      <c r="B9" s="6">
        <f>'Revenue Streams'!B9</f>
        <v/>
      </c>
      <c r="C9" s="14">
        <f>'Revenue Streams'!K9</f>
        <v/>
      </c>
      <c r="D9" s="17">
        <f>'Revenue Streams'!M9</f>
        <v/>
      </c>
      <c r="E9" s="22">
        <f>'Revenue Streams'!P9</f>
        <v/>
      </c>
      <c r="F9" s="23">
        <f>IF(C9&lt;0,"Loses money",IF(E9&gt;=3,"Strong","Marginal"))</f>
        <v/>
      </c>
    </row>
    <row r="10">
      <c r="B10" s="6">
        <f>'Revenue Streams'!B10</f>
        <v/>
      </c>
      <c r="C10" s="14">
        <f>'Revenue Streams'!K10</f>
        <v/>
      </c>
      <c r="D10" s="17">
        <f>'Revenue Streams'!M10</f>
        <v/>
      </c>
      <c r="E10" s="22">
        <f>'Revenue Streams'!P10</f>
        <v/>
      </c>
      <c r="F10" s="23">
        <f>IF(C10&lt;0,"Loses money",IF(E10&gt;=3,"Strong","Marginal"))</f>
        <v/>
      </c>
    </row>
    <row r="11">
      <c r="B11" s="6">
        <f>'Revenue Streams'!B11</f>
        <v/>
      </c>
      <c r="C11" s="14">
        <f>'Revenue Streams'!K11</f>
        <v/>
      </c>
      <c r="D11" s="17">
        <f>'Revenue Streams'!M11</f>
        <v/>
      </c>
      <c r="E11" s="22">
        <f>'Revenue Streams'!P11</f>
        <v/>
      </c>
      <c r="F11" s="23">
        <f>IF(C11&lt;0,"Loses money",IF(E11&gt;=3,"Strong","Marginal"))</f>
        <v/>
      </c>
    </row>
    <row r="13">
      <c r="B13" s="3" t="inlineStr">
        <is>
          <t>Multiple: top vs. bottom row</t>
        </is>
      </c>
      <c r="C13" s="24">
        <f>MAX(C6:C11)/C6</f>
        <v/>
      </c>
    </row>
    <row r="14">
      <c r="B14" s="21" t="inlineStr">
        <is>
          <t>Read against MARKET.md §3's illustrative ~2,000x spread between one-off jobs and society contracts — this cell recomputes that ratio from the assumptions above, not the market-derived figure.</t>
        </is>
      </c>
    </row>
  </sheetData>
  <conditionalFormatting sqref="C6:C1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2026-08-18T17:20:24Z</dcterms:created>
  <dcterms:modified xsi:type="dcterms:W3CDTF">2026-08-18T17:20:24Z</dcterms:modified>
</cp:coreProperties>
</file>